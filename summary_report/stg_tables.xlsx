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300\Documents\Palladium\lamisplus_sync_ingestion\summary_report\"/>
    </mc:Choice>
  </mc:AlternateContent>
  <xr:revisionPtr revIDLastSave="0" documentId="13_ncr:9_{6F242BA8-A656-4C42-A80E-AAE9DE85FAE6}" xr6:coauthVersionLast="47" xr6:coauthVersionMax="47" xr10:uidLastSave="{00000000-0000-0000-0000-000000000000}"/>
  <bookViews>
    <workbookView xWindow="-110" yWindow="-110" windowWidth="19420" windowHeight="10300" xr2:uid="{F8384A6A-22E7-48DB-9E9E-9C8121D59F41}"/>
  </bookViews>
  <sheets>
    <sheet name="stg_tables" sheetId="1" r:id="rId1"/>
  </sheets>
  <calcPr calcId="0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2" i="1"/>
</calcChain>
</file>

<file path=xl/sharedStrings.xml><?xml version="1.0" encoding="utf-8"?>
<sst xmlns="http://schemas.openxmlformats.org/spreadsheetml/2006/main" count="54" uniqueCount="54">
  <si>
    <t>table_name</t>
  </si>
  <si>
    <t>total_records</t>
  </si>
  <si>
    <t>base_application_codeset</t>
  </si>
  <si>
    <t>base_organisation_unit</t>
  </si>
  <si>
    <t>biometric</t>
  </si>
  <si>
    <t>case_manager</t>
  </si>
  <si>
    <t>case_manager_patients</t>
  </si>
  <si>
    <t>dsd_devolvement</t>
  </si>
  <si>
    <t>hiv_art_clinical</t>
  </si>
  <si>
    <t>hiv_art_pharmacy</t>
  </si>
  <si>
    <t>hiv_art_pharmacy_regimens</t>
  </si>
  <si>
    <t>hiv_drug</t>
  </si>
  <si>
    <t>hiv_eac</t>
  </si>
  <si>
    <t>hiv_eac_out_come</t>
  </si>
  <si>
    <t>hiv_eac_session</t>
  </si>
  <si>
    <t>hiv_enrollment</t>
  </si>
  <si>
    <t>hiv_observation</t>
  </si>
  <si>
    <t>hiv_patient_tracker</t>
  </si>
  <si>
    <t>hiv_regimen</t>
  </si>
  <si>
    <t>hiv_regimen_drug</t>
  </si>
  <si>
    <t>hiv_regimen_resolver</t>
  </si>
  <si>
    <t>hiv_regimen_type</t>
  </si>
  <si>
    <t>hiv_status_tracker</t>
  </si>
  <si>
    <t>hts_client</t>
  </si>
  <si>
    <t>hts_index_elicitation</t>
  </si>
  <si>
    <t>hts_risk_stratification</t>
  </si>
  <si>
    <t>laboratory_labtest</t>
  </si>
  <si>
    <t>laboratory_labtestgroup</t>
  </si>
  <si>
    <t>laboratory_number</t>
  </si>
  <si>
    <t>laboratory_order</t>
  </si>
  <si>
    <t>laboratory_result</t>
  </si>
  <si>
    <t>laboratory_sample</t>
  </si>
  <si>
    <t>laboratory_sample_type</t>
  </si>
  <si>
    <t>laboratory_sampletype_labtest_link</t>
  </si>
  <si>
    <t>laboratory_test</t>
  </si>
  <si>
    <t>mhpss_confirmation</t>
  </si>
  <si>
    <t>mhpss_screening</t>
  </si>
  <si>
    <t>patient_encounter</t>
  </si>
  <si>
    <t>patient_person</t>
  </si>
  <si>
    <t>patient_visit</t>
  </si>
  <si>
    <t>pmtct_anc</t>
  </si>
  <si>
    <t>pmtct_delivery</t>
  </si>
  <si>
    <t>pmtct_enrollment</t>
  </si>
  <si>
    <t>pmtct_infant_arv</t>
  </si>
  <si>
    <t>pmtct_infant_information</t>
  </si>
  <si>
    <t>pmtct_infant_pcr</t>
  </si>
  <si>
    <t>pmtct_infant_visit</t>
  </si>
  <si>
    <t>pmtct_mother_visitation</t>
  </si>
  <si>
    <t>prep_clinic</t>
  </si>
  <si>
    <t>prep_eligibility</t>
  </si>
  <si>
    <t>prep_enrollment</t>
  </si>
  <si>
    <t>prep_interruption</t>
  </si>
  <si>
    <t>prep_regimen</t>
  </si>
  <si>
    <t>triage_vital_sign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</si>
</sst>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72A33-CC8F-4EFF-BD10-C9F0D35C41DA}">
  <dimension ref="A1:C53"/>
  <sheetViews>
    <sheetView tabSelected="1" workbookViewId="0">
      <selection activeCell="B2" sqref="B2:B53"/>
    </sheetView>
  </sheetViews>
  <sheetFormatPr defaultRowHeight="14.5" x14ac:dyDescent="0.35"/>
  <cols>
    <col min="1" max="1" width="31.1796875" bestFit="1" customWidth="1"/>
    <col min="2" max="2" width="31.1796875" customWidth="1"/>
  </cols>
  <sheetData>
    <row r="1" spans="1:3" x14ac:dyDescent="0.35">
      <c r="A1" t="s">
        <v>0</v>
      </c>
      <c r="C1" t="s">
        <v>1</v>
      </c>
    </row>
    <row r="2" spans="1:3" x14ac:dyDescent="0.35">
      <c r="A2" t="s">
        <v>2</v>
      </c>
      <c r="B2" t="str">
        <f>CONCATENATE(A2," text",",")</f>
        <v>base_application_codeset text,</v>
      </c>
      <c r="C2">
        <v>3581267</v>
      </c>
    </row>
    <row r="3" spans="1:3" x14ac:dyDescent="0.35">
      <c r="A3" t="s">
        <v>3</v>
      </c>
      <c r="B3" t="str">
        <f t="shared" ref="B3:B53" si="0">CONCATENATE(A3," text",",")</f>
        <v>base_organisation_unit text,</v>
      </c>
      <c r="C3">
        <v>5671746</v>
      </c>
    </row>
    <row r="4" spans="1:3" x14ac:dyDescent="0.35">
      <c r="A4" t="s">
        <v>4</v>
      </c>
      <c r="B4" t="str">
        <f t="shared" si="0"/>
        <v>biometric text,</v>
      </c>
      <c r="C4">
        <v>29243354</v>
      </c>
    </row>
    <row r="5" spans="1:3" x14ac:dyDescent="0.35">
      <c r="A5" t="s">
        <v>5</v>
      </c>
      <c r="B5" t="str">
        <f t="shared" si="0"/>
        <v>case_manager text,</v>
      </c>
      <c r="C5">
        <v>7558</v>
      </c>
    </row>
    <row r="6" spans="1:3" x14ac:dyDescent="0.35">
      <c r="A6" t="s">
        <v>6</v>
      </c>
      <c r="B6" t="str">
        <f t="shared" si="0"/>
        <v>case_manager_patients text,</v>
      </c>
      <c r="C6">
        <v>1723861</v>
      </c>
    </row>
    <row r="7" spans="1:3" x14ac:dyDescent="0.35">
      <c r="A7" t="s">
        <v>7</v>
      </c>
      <c r="B7" t="str">
        <f t="shared" si="0"/>
        <v>dsd_devolvement text,</v>
      </c>
      <c r="C7">
        <v>542686</v>
      </c>
    </row>
    <row r="8" spans="1:3" x14ac:dyDescent="0.35">
      <c r="A8" t="s">
        <v>8</v>
      </c>
      <c r="B8" t="str">
        <f t="shared" si="0"/>
        <v>hiv_art_clinical text,</v>
      </c>
      <c r="C8">
        <v>19976846</v>
      </c>
    </row>
    <row r="9" spans="1:3" x14ac:dyDescent="0.35">
      <c r="A9" t="s">
        <v>9</v>
      </c>
      <c r="B9" t="str">
        <f t="shared" si="0"/>
        <v>hiv_art_pharmacy text,</v>
      </c>
      <c r="C9">
        <v>23189299</v>
      </c>
    </row>
    <row r="10" spans="1:3" x14ac:dyDescent="0.35">
      <c r="A10" t="s">
        <v>10</v>
      </c>
      <c r="B10" t="str">
        <f t="shared" si="0"/>
        <v>hiv_art_pharmacy_regimens text,</v>
      </c>
      <c r="C10">
        <v>129484556</v>
      </c>
    </row>
    <row r="11" spans="1:3" x14ac:dyDescent="0.35">
      <c r="A11" t="s">
        <v>11</v>
      </c>
      <c r="B11" t="str">
        <f t="shared" si="0"/>
        <v>hiv_drug text,</v>
      </c>
      <c r="C11">
        <v>43424</v>
      </c>
    </row>
    <row r="12" spans="1:3" x14ac:dyDescent="0.35">
      <c r="A12" t="s">
        <v>12</v>
      </c>
      <c r="B12" t="str">
        <f t="shared" si="0"/>
        <v>hiv_eac text,</v>
      </c>
      <c r="C12">
        <v>216830</v>
      </c>
    </row>
    <row r="13" spans="1:3" x14ac:dyDescent="0.35">
      <c r="A13" t="s">
        <v>13</v>
      </c>
      <c r="B13" t="str">
        <f t="shared" si="0"/>
        <v>hiv_eac_out_come text,</v>
      </c>
      <c r="C13">
        <v>87754</v>
      </c>
    </row>
    <row r="14" spans="1:3" x14ac:dyDescent="0.35">
      <c r="A14" t="s">
        <v>14</v>
      </c>
      <c r="B14" t="str">
        <f t="shared" si="0"/>
        <v>hiv_eac_session text,</v>
      </c>
      <c r="C14">
        <v>185128</v>
      </c>
    </row>
    <row r="15" spans="1:3" x14ac:dyDescent="0.35">
      <c r="A15" t="s">
        <v>15</v>
      </c>
      <c r="B15" t="str">
        <f t="shared" si="0"/>
        <v>hiv_enrollment text,</v>
      </c>
      <c r="C15">
        <v>2205233</v>
      </c>
    </row>
    <row r="16" spans="1:3" x14ac:dyDescent="0.35">
      <c r="A16" t="s">
        <v>16</v>
      </c>
      <c r="B16" t="str">
        <f t="shared" si="0"/>
        <v>hiv_observation text,</v>
      </c>
      <c r="C16">
        <v>3321304</v>
      </c>
    </row>
    <row r="17" spans="1:3" x14ac:dyDescent="0.35">
      <c r="A17" t="s">
        <v>17</v>
      </c>
      <c r="B17" t="str">
        <f t="shared" si="0"/>
        <v>hiv_patient_tracker text,</v>
      </c>
      <c r="C17">
        <v>273023</v>
      </c>
    </row>
    <row r="18" spans="1:3" x14ac:dyDescent="0.35">
      <c r="A18" t="s">
        <v>18</v>
      </c>
      <c r="B18" t="str">
        <f t="shared" si="0"/>
        <v>hiv_regimen text,</v>
      </c>
      <c r="C18">
        <v>426791</v>
      </c>
    </row>
    <row r="19" spans="1:3" x14ac:dyDescent="0.35">
      <c r="A19" t="s">
        <v>19</v>
      </c>
      <c r="B19" t="str">
        <f t="shared" si="0"/>
        <v>hiv_regimen_drug text,</v>
      </c>
      <c r="C19">
        <v>833619</v>
      </c>
    </row>
    <row r="20" spans="1:3" x14ac:dyDescent="0.35">
      <c r="A20" t="s">
        <v>20</v>
      </c>
      <c r="B20" t="str">
        <f t="shared" si="0"/>
        <v>hiv_regimen_resolver text,</v>
      </c>
      <c r="C20">
        <v>216814</v>
      </c>
    </row>
    <row r="21" spans="1:3" x14ac:dyDescent="0.35">
      <c r="A21" t="s">
        <v>21</v>
      </c>
      <c r="B21" t="str">
        <f t="shared" si="0"/>
        <v>hiv_regimen_type text,</v>
      </c>
      <c r="C21">
        <v>39048</v>
      </c>
    </row>
    <row r="22" spans="1:3" x14ac:dyDescent="0.35">
      <c r="A22" t="s">
        <v>22</v>
      </c>
      <c r="B22" t="str">
        <f t="shared" si="0"/>
        <v>hiv_status_tracker text,</v>
      </c>
      <c r="C22">
        <v>39461607</v>
      </c>
    </row>
    <row r="23" spans="1:3" x14ac:dyDescent="0.35">
      <c r="A23" t="s">
        <v>23</v>
      </c>
      <c r="B23" t="str">
        <f t="shared" si="0"/>
        <v>hts_client text,</v>
      </c>
      <c r="C23">
        <v>6226877</v>
      </c>
    </row>
    <row r="24" spans="1:3" x14ac:dyDescent="0.35">
      <c r="A24" t="s">
        <v>24</v>
      </c>
      <c r="B24" t="str">
        <f t="shared" si="0"/>
        <v>hts_index_elicitation text,</v>
      </c>
      <c r="C24">
        <v>96787</v>
      </c>
    </row>
    <row r="25" spans="1:3" x14ac:dyDescent="0.35">
      <c r="A25" t="s">
        <v>25</v>
      </c>
      <c r="B25" t="str">
        <f t="shared" si="0"/>
        <v>hts_risk_stratification text,</v>
      </c>
      <c r="C25">
        <v>7305331</v>
      </c>
    </row>
    <row r="26" spans="1:3" x14ac:dyDescent="0.35">
      <c r="A26" t="s">
        <v>26</v>
      </c>
      <c r="B26" t="str">
        <f t="shared" si="0"/>
        <v>laboratory_labtest text,</v>
      </c>
      <c r="C26">
        <v>103040</v>
      </c>
    </row>
    <row r="27" spans="1:3" x14ac:dyDescent="0.35">
      <c r="A27" t="s">
        <v>27</v>
      </c>
      <c r="B27" t="str">
        <f t="shared" si="0"/>
        <v>laboratory_labtestgroup text,</v>
      </c>
      <c r="C27">
        <v>10385</v>
      </c>
    </row>
    <row r="28" spans="1:3" x14ac:dyDescent="0.35">
      <c r="A28" t="s">
        <v>28</v>
      </c>
      <c r="B28" t="str">
        <f t="shared" si="0"/>
        <v>laboratory_number text,</v>
      </c>
      <c r="C28">
        <v>17</v>
      </c>
    </row>
    <row r="29" spans="1:3" x14ac:dyDescent="0.35">
      <c r="A29" t="s">
        <v>29</v>
      </c>
      <c r="B29" t="str">
        <f t="shared" si="0"/>
        <v>laboratory_order text,</v>
      </c>
      <c r="C29">
        <v>4327513</v>
      </c>
    </row>
    <row r="30" spans="1:3" x14ac:dyDescent="0.35">
      <c r="A30" t="s">
        <v>30</v>
      </c>
      <c r="B30" t="str">
        <f t="shared" si="0"/>
        <v>laboratory_result text,</v>
      </c>
      <c r="C30">
        <v>7800152</v>
      </c>
    </row>
    <row r="31" spans="1:3" x14ac:dyDescent="0.35">
      <c r="A31" t="s">
        <v>31</v>
      </c>
      <c r="B31" t="str">
        <f t="shared" si="0"/>
        <v>laboratory_sample text,</v>
      </c>
      <c r="C31">
        <v>7107793</v>
      </c>
    </row>
    <row r="32" spans="1:3" x14ac:dyDescent="0.35">
      <c r="A32" t="s">
        <v>32</v>
      </c>
      <c r="B32" t="str">
        <f t="shared" si="0"/>
        <v>laboratory_sample_type text,</v>
      </c>
      <c r="C32">
        <v>16209</v>
      </c>
    </row>
    <row r="33" spans="1:3" x14ac:dyDescent="0.35">
      <c r="A33" t="s">
        <v>33</v>
      </c>
      <c r="B33" t="str">
        <f t="shared" si="0"/>
        <v>laboratory_sampletype_labtest_link text,</v>
      </c>
      <c r="C33">
        <v>24752</v>
      </c>
    </row>
    <row r="34" spans="1:3" x14ac:dyDescent="0.35">
      <c r="A34" t="s">
        <v>34</v>
      </c>
      <c r="B34" t="str">
        <f t="shared" si="0"/>
        <v>laboratory_test text,</v>
      </c>
      <c r="C34">
        <v>7118493</v>
      </c>
    </row>
    <row r="35" spans="1:3" x14ac:dyDescent="0.35">
      <c r="A35" t="s">
        <v>35</v>
      </c>
      <c r="B35" t="str">
        <f t="shared" si="0"/>
        <v>mhpss_confirmation text,</v>
      </c>
      <c r="C35">
        <v>0</v>
      </c>
    </row>
    <row r="36" spans="1:3" x14ac:dyDescent="0.35">
      <c r="A36" t="s">
        <v>36</v>
      </c>
      <c r="B36" t="str">
        <f t="shared" si="0"/>
        <v>mhpss_screening text,</v>
      </c>
      <c r="C36">
        <v>24</v>
      </c>
    </row>
    <row r="37" spans="1:3" x14ac:dyDescent="0.35">
      <c r="A37" t="s">
        <v>37</v>
      </c>
      <c r="B37" t="str">
        <f t="shared" si="0"/>
        <v>patient_encounter text,</v>
      </c>
      <c r="C37">
        <v>4463173</v>
      </c>
    </row>
    <row r="38" spans="1:3" x14ac:dyDescent="0.35">
      <c r="A38" t="s">
        <v>38</v>
      </c>
      <c r="B38" t="str">
        <f t="shared" si="0"/>
        <v>patient_person text,</v>
      </c>
      <c r="C38">
        <v>9331496</v>
      </c>
    </row>
    <row r="39" spans="1:3" x14ac:dyDescent="0.35">
      <c r="A39" t="s">
        <v>39</v>
      </c>
      <c r="B39" t="str">
        <f t="shared" si="0"/>
        <v>patient_visit text,</v>
      </c>
      <c r="C39">
        <v>33290416</v>
      </c>
    </row>
    <row r="40" spans="1:3" x14ac:dyDescent="0.35">
      <c r="A40" t="s">
        <v>40</v>
      </c>
      <c r="B40" t="str">
        <f t="shared" si="0"/>
        <v>pmtct_anc text,</v>
      </c>
      <c r="C40">
        <v>17431</v>
      </c>
    </row>
    <row r="41" spans="1:3" x14ac:dyDescent="0.35">
      <c r="A41" t="s">
        <v>41</v>
      </c>
      <c r="B41" t="str">
        <f t="shared" si="0"/>
        <v>pmtct_delivery text,</v>
      </c>
      <c r="C41">
        <v>104</v>
      </c>
    </row>
    <row r="42" spans="1:3" x14ac:dyDescent="0.35">
      <c r="A42" t="s">
        <v>42</v>
      </c>
      <c r="B42" t="str">
        <f t="shared" si="0"/>
        <v>pmtct_enrollment text,</v>
      </c>
      <c r="C42">
        <v>662</v>
      </c>
    </row>
    <row r="43" spans="1:3" x14ac:dyDescent="0.35">
      <c r="A43" t="s">
        <v>43</v>
      </c>
      <c r="B43" t="str">
        <f t="shared" si="0"/>
        <v>pmtct_infant_arv text,</v>
      </c>
      <c r="C43">
        <v>59</v>
      </c>
    </row>
    <row r="44" spans="1:3" x14ac:dyDescent="0.35">
      <c r="A44" t="s">
        <v>44</v>
      </c>
      <c r="B44" t="str">
        <f t="shared" si="0"/>
        <v>pmtct_infant_information text,</v>
      </c>
      <c r="C44">
        <v>42</v>
      </c>
    </row>
    <row r="45" spans="1:3" x14ac:dyDescent="0.35">
      <c r="A45" t="s">
        <v>45</v>
      </c>
      <c r="B45" t="str">
        <f t="shared" si="0"/>
        <v>pmtct_infant_pcr text,</v>
      </c>
      <c r="C45">
        <v>59</v>
      </c>
    </row>
    <row r="46" spans="1:3" x14ac:dyDescent="0.35">
      <c r="A46" t="s">
        <v>46</v>
      </c>
      <c r="B46" t="str">
        <f t="shared" si="0"/>
        <v>pmtct_infant_visit text,</v>
      </c>
      <c r="C46">
        <v>14</v>
      </c>
    </row>
    <row r="47" spans="1:3" x14ac:dyDescent="0.35">
      <c r="A47" t="s">
        <v>47</v>
      </c>
      <c r="B47" t="str">
        <f t="shared" si="0"/>
        <v>pmtct_mother_visitation text,</v>
      </c>
      <c r="C47">
        <v>388</v>
      </c>
    </row>
    <row r="48" spans="1:3" x14ac:dyDescent="0.35">
      <c r="A48" t="s">
        <v>48</v>
      </c>
      <c r="B48" t="str">
        <f t="shared" si="0"/>
        <v>prep_clinic text,</v>
      </c>
      <c r="C48">
        <v>1770413</v>
      </c>
    </row>
    <row r="49" spans="1:3" x14ac:dyDescent="0.35">
      <c r="A49" t="s">
        <v>49</v>
      </c>
      <c r="B49" t="str">
        <f t="shared" si="0"/>
        <v>prep_eligibility text,</v>
      </c>
      <c r="C49">
        <v>45853</v>
      </c>
    </row>
    <row r="50" spans="1:3" x14ac:dyDescent="0.35">
      <c r="A50" t="s">
        <v>50</v>
      </c>
      <c r="B50" t="str">
        <f t="shared" si="0"/>
        <v>prep_enrollment text,</v>
      </c>
      <c r="C50">
        <v>150637</v>
      </c>
    </row>
    <row r="51" spans="1:3" x14ac:dyDescent="0.35">
      <c r="A51" t="s">
        <v>51</v>
      </c>
      <c r="B51" t="str">
        <f t="shared" si="0"/>
        <v>prep_interruption text,</v>
      </c>
      <c r="C51">
        <v>1441</v>
      </c>
    </row>
    <row r="52" spans="1:3" x14ac:dyDescent="0.35">
      <c r="A52" t="s">
        <v>52</v>
      </c>
      <c r="B52" t="str">
        <f t="shared" si="0"/>
        <v>prep_regimen text,</v>
      </c>
      <c r="C52">
        <v>4375</v>
      </c>
    </row>
    <row r="53" spans="1:3" x14ac:dyDescent="0.35">
      <c r="A53" t="s">
        <v>53</v>
      </c>
      <c r="B53" t="str">
        <f t="shared" si="0"/>
        <v>triage_vital_sign text,</v>
      </c>
      <c r="C53">
        <v>20683962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stg_tables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5300</dc:creator>
  <cp:lastModifiedBy>UCHE NNODIM</cp:lastModifiedBy>
  <dcterms:created xsi:type="dcterms:W3CDTF">2024-09-23T13:52:37Z</dcterms:created>
  <dcterms:modified xsi:type="dcterms:W3CDTF">2024-09-23T13:53:29Z</dcterms:modified>
</cp:coreProperties>
</file>